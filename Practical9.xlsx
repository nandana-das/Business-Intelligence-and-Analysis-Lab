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DEA_Input" sheetId="2" state="visible" r:id="rId2"/>
    <sheet xmlns:r="http://schemas.openxmlformats.org/officeDocument/2006/relationships" name="CCR_Solver" sheetId="3" state="visible" r:id="rId3"/>
    <sheet xmlns:r="http://schemas.openxmlformats.org/officeDocument/2006/relationships" name="Results" sheetId="4" state="visible" r:id="rId4"/>
  </sheets>
  <definedNames>
    <definedName name="solver_adj" localSheetId="2">CCR_Solver!$B$5:$B$15</definedName>
    <definedName name="solver_opt" localSheetId="2">CCR_Solver!$B$5</definedName>
    <definedName name="solver_typ" localSheetId="2">2</definedName>
    <definedName name="solver_val" localSheetId="2">0</definedName>
    <definedName name="solver_num" localSheetId="2">2</definedName>
    <definedName name="solver_lhs1" localSheetId="2">CCR_Solver!$B$20:$B$22</definedName>
    <definedName name="solver_rel1" localSheetId="2">1</definedName>
    <definedName name="solver_rhs1" localSheetId="2">CCR_Solver!$D$20:$D$22</definedName>
    <definedName name="solver_lhs2" localSheetId="2">CCR_Solver!$B$24:$B$26</definedName>
    <definedName name="solver_rel2" localSheetId="2">3</definedName>
    <definedName name="solver_rhs2" localSheetId="2">CCR_Solver!$D$24:$D$26</definedName>
    <definedName name="solver_eng" localSheetId="2">2</definedName>
    <definedName name="solver_neg" localSheetId="2">1</definedName>
    <definedName name="solver_lin" localSheetId="2">2</definedName>
    <definedName name="solver_ver" localSheetId="2">3</definedName>
    <definedName name="solver_sho" localSheetId="2">2</definedName>
    <definedName name="solver_scl" localSheetId="2">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2" fillId="3" borderId="1" pivotButton="0" quotePrefix="0" xfId="0"/>
    <xf numFmtId="0" fontId="2" fillId="4" borderId="1" pivotButton="0" quotePrefix="0" xfId="0"/>
    <xf numFmtId="0" fontId="0" fillId="0" borderId="1" pivotButton="0" quotePrefix="0" xfId="0"/>
    <xf numFmtId="0" fontId="0" fillId="5" borderId="1" pivotButton="0" quotePrefix="0" xfId="0"/>
    <xf numFmtId="0" fontId="0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CCR DEA Efficiency Scores of Customers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'Results'!H3</f>
            </strRef>
          </tx>
          <spPr>
            <a:ln xmlns:a="http://schemas.openxmlformats.org/drawingml/2006/main">
              <a:prstDash val="solid"/>
            </a:ln>
          </spPr>
          <cat>
            <numRef>
              <f>'Results'!$A$4:$A$13</f>
            </numRef>
          </cat>
          <val>
            <numRef>
              <f>'Results'!$H$4:$H$13</f>
            </numRef>
          </val>
        </ser>
        <gapWidth val="15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35</row>
      <rowOff>0</rowOff>
    </from>
    <ext cx="576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7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Experiment 9 – CCR DEA with Excel Solver (input-oriented, constant returns to scale)</t>
        </is>
      </c>
    </row>
    <row r="2">
      <c r="A2" t="inlineStr"/>
    </row>
    <row r="3">
      <c r="A3" s="2" t="inlineStr">
        <is>
          <t>Sheets</t>
        </is>
      </c>
    </row>
    <row r="4">
      <c r="A4" t="inlineStr">
        <is>
          <t xml:space="preserve">  DEA_Input   – 10 customers (DMUs) from the Customer Segmentation dataset: 3 inputs, 3 outputs</t>
        </is>
      </c>
    </row>
    <row r="5">
      <c r="A5" t="inlineStr">
        <is>
          <t xml:space="preserve">  CCR_Solver  – the Solver model for ONE target DMU (pick it in cell B2)</t>
        </is>
      </c>
    </row>
    <row r="6">
      <c r="A6" t="inlineStr">
        <is>
          <t xml:space="preserve">  Results     – final table, status, chart, benchmark (reference) DMUs</t>
        </is>
      </c>
    </row>
    <row r="7">
      <c r="A7" t="inlineStr"/>
    </row>
    <row r="8">
      <c r="A8" t="inlineStr">
        <is>
          <t>Inputs : NumDealsPurchases, AcceptedCampaigns (=SUM AcceptedCmp1..5), Recency</t>
        </is>
      </c>
    </row>
    <row r="9">
      <c r="A9" t="inlineStr">
        <is>
          <t>Outputs: MntWines, MntFruits, NumPurchases (=Web+Catalog+Store purchases)</t>
        </is>
      </c>
    </row>
    <row r="10">
      <c r="A10" t="inlineStr"/>
    </row>
    <row r="11">
      <c r="A11" s="2" t="inlineStr">
        <is>
          <t>How to run Solver (repeat for each customer)</t>
        </is>
      </c>
    </row>
    <row r="12">
      <c r="A12" t="inlineStr">
        <is>
          <t xml:space="preserve">  1. Excel: File &gt; Options &gt; Add-ins &gt; Manage Excel Add-ins &gt; Go &gt; tick Solver Add-in &gt; OK (Data &gt; Solver appears).</t>
        </is>
      </c>
    </row>
    <row r="13">
      <c r="A13" t="inlineStr">
        <is>
          <t xml:space="preserve">  2. Go to sheet CCR_Solver. Type the target customer number (1-10) in B2.</t>
        </is>
      </c>
    </row>
    <row r="14">
      <c r="A14" t="inlineStr">
        <is>
          <t xml:space="preserve">  3. Reset start values: Theta (B5) = 1, lambda of target DMU = 1, all other lambdas = 0.</t>
        </is>
      </c>
    </row>
    <row r="15">
      <c r="A15" t="inlineStr">
        <is>
          <t xml:space="preserve">  4. Data &gt; Solver. The model is already loaded (if blank, enter it as listed below).</t>
        </is>
      </c>
    </row>
    <row r="16">
      <c r="A16" t="inlineStr">
        <is>
          <t xml:space="preserve">       Set Objective : $B$5 (Theta)      To: Min</t>
        </is>
      </c>
    </row>
    <row r="17">
      <c r="A17" t="inlineStr">
        <is>
          <t xml:space="preserve">       By Changing   : $B$5:$B$15 (Theta and lambda1..lambda10)</t>
        </is>
      </c>
    </row>
    <row r="18">
      <c r="A18" t="inlineStr">
        <is>
          <t xml:space="preserve">       Constraints   : $B$20:$B$22 &lt;= $D$20:$D$22   (input constraints:  sum(lambda*input)  &lt;= Theta*input of target)</t>
        </is>
      </c>
    </row>
    <row r="19">
      <c r="A19" t="inlineStr">
        <is>
          <t xml:space="preserve">                       $B$24:$B$26 &gt;= $D$24:$D$26   (output constraints: sum(lambda*output) &gt;= output of target)</t>
        </is>
      </c>
    </row>
    <row r="20">
      <c r="A20" t="inlineStr">
        <is>
          <t xml:space="preserve">       tick 'Make Unconstrained Variables Non-Negative'   (Theta &gt;= 0, lambda &gt;= 0)</t>
        </is>
      </c>
    </row>
    <row r="21">
      <c r="A21" t="inlineStr">
        <is>
          <t xml:space="preserve">       Solving Method: Simplex LP     &gt; Solve &gt; Keep Solver Solution</t>
        </is>
      </c>
    </row>
    <row r="22">
      <c r="A22" t="inlineStr">
        <is>
          <t xml:space="preserve">  5. Read Theta (B5) = CCR efficiency score. Type it into column 'Your Solver score' on Results.</t>
        </is>
      </c>
    </row>
    <row r="23">
      <c r="A23" t="inlineStr">
        <is>
          <t xml:space="preserve">  6. Change B2 to next customer, repeat. Theta = 1 -&gt; efficient; Theta &lt; 1 -&gt; inefficient.</t>
        </is>
      </c>
    </row>
    <row r="24">
      <c r="A24" t="inlineStr">
        <is>
          <t xml:space="preserve">  7. Lambda values of an inefficient DMU show its benchmark (reference) customers (lambda &gt; 0).</t>
        </is>
      </c>
    </row>
    <row r="25">
      <c r="A25" t="inlineStr"/>
    </row>
    <row r="26">
      <c r="A26" t="inlineStr">
        <is>
          <t>Results sheet column 'Expected score' was computed with an LP solver as a check. Your Solver values should match to ~4 decimals.</t>
        </is>
      </c>
    </row>
    <row r="27">
      <c r="A27" t="inlineStr">
        <is>
          <t>Scores are relative to these 10 customers only (a different sample gives different scores).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20" customWidth="1" min="3" max="3"/>
    <col width="20" customWidth="1" min="4" max="4"/>
    <col width="12" customWidth="1" min="5" max="5"/>
    <col width="14" customWidth="1" min="6" max="6"/>
    <col width="14" customWidth="1" min="7" max="7"/>
    <col width="16" customWidth="1" min="8" max="8"/>
  </cols>
  <sheetData>
    <row r="1" ht="32" customHeight="1">
      <c r="A1" s="3" t="inlineStr">
        <is>
          <t>DMU</t>
        </is>
      </c>
      <c r="B1" s="3" t="inlineStr">
        <is>
          <t>Customer ID</t>
        </is>
      </c>
      <c r="C1" s="3" t="inlineStr">
        <is>
          <t>Input 1
NumDealsPurchases</t>
        </is>
      </c>
      <c r="D1" s="3" t="inlineStr">
        <is>
          <t>Input 2
AcceptedCampaigns</t>
        </is>
      </c>
      <c r="E1" s="3" t="inlineStr">
        <is>
          <t>Input 3
Recency</t>
        </is>
      </c>
      <c r="F1" s="3" t="inlineStr">
        <is>
          <t>Output 1
MntWines</t>
        </is>
      </c>
      <c r="G1" s="3" t="inlineStr">
        <is>
          <t>Output 2
MntFruits</t>
        </is>
      </c>
      <c r="H1" s="3" t="inlineStr">
        <is>
          <t>Output 3
NumPurchases</t>
        </is>
      </c>
    </row>
    <row r="2">
      <c r="A2" s="4" t="inlineStr">
        <is>
          <t>Customer 1</t>
        </is>
      </c>
      <c r="B2" s="4" t="n">
        <v>5524</v>
      </c>
      <c r="C2" s="4" t="n">
        <v>3</v>
      </c>
      <c r="D2" s="4" t="n">
        <v>0</v>
      </c>
      <c r="E2" s="4" t="n">
        <v>58</v>
      </c>
      <c r="F2" s="4" t="n">
        <v>635</v>
      </c>
      <c r="G2" s="4" t="n">
        <v>88</v>
      </c>
      <c r="H2" s="4" t="n">
        <v>22</v>
      </c>
    </row>
    <row r="3">
      <c r="A3" s="4" t="inlineStr">
        <is>
          <t>Customer 2</t>
        </is>
      </c>
      <c r="B3" s="4" t="n">
        <v>2174</v>
      </c>
      <c r="C3" s="4" t="n">
        <v>2</v>
      </c>
      <c r="D3" s="4" t="n">
        <v>0</v>
      </c>
      <c r="E3" s="4" t="n">
        <v>38</v>
      </c>
      <c r="F3" s="4" t="n">
        <v>11</v>
      </c>
      <c r="G3" s="4" t="n">
        <v>1</v>
      </c>
      <c r="H3" s="4" t="n">
        <v>4</v>
      </c>
    </row>
    <row r="4">
      <c r="A4" s="4" t="inlineStr">
        <is>
          <t>Customer 3</t>
        </is>
      </c>
      <c r="B4" s="4" t="n">
        <v>4141</v>
      </c>
      <c r="C4" s="4" t="n">
        <v>1</v>
      </c>
      <c r="D4" s="4" t="n">
        <v>0</v>
      </c>
      <c r="E4" s="4" t="n">
        <v>26</v>
      </c>
      <c r="F4" s="4" t="n">
        <v>426</v>
      </c>
      <c r="G4" s="4" t="n">
        <v>49</v>
      </c>
      <c r="H4" s="4" t="n">
        <v>20</v>
      </c>
    </row>
    <row r="5">
      <c r="A5" s="4" t="inlineStr">
        <is>
          <t>Customer 4</t>
        </is>
      </c>
      <c r="B5" s="4" t="n">
        <v>6182</v>
      </c>
      <c r="C5" s="4" t="n">
        <v>2</v>
      </c>
      <c r="D5" s="4" t="n">
        <v>0</v>
      </c>
      <c r="E5" s="4" t="n">
        <v>26</v>
      </c>
      <c r="F5" s="4" t="n">
        <v>11</v>
      </c>
      <c r="G5" s="4" t="n">
        <v>4</v>
      </c>
      <c r="H5" s="4" t="n">
        <v>6</v>
      </c>
    </row>
    <row r="6">
      <c r="A6" s="4" t="inlineStr">
        <is>
          <t>Customer 5</t>
        </is>
      </c>
      <c r="B6" s="4" t="n">
        <v>5324</v>
      </c>
      <c r="C6" s="4" t="n">
        <v>5</v>
      </c>
      <c r="D6" s="4" t="n">
        <v>0</v>
      </c>
      <c r="E6" s="4" t="n">
        <v>94</v>
      </c>
      <c r="F6" s="4" t="n">
        <v>173</v>
      </c>
      <c r="G6" s="4" t="n">
        <v>43</v>
      </c>
      <c r="H6" s="4" t="n">
        <v>14</v>
      </c>
    </row>
    <row r="7">
      <c r="A7" s="4" t="inlineStr">
        <is>
          <t>Customer 6</t>
        </is>
      </c>
      <c r="B7" s="4" t="n">
        <v>7446</v>
      </c>
      <c r="C7" s="4" t="n">
        <v>2</v>
      </c>
      <c r="D7" s="4" t="n">
        <v>0</v>
      </c>
      <c r="E7" s="4" t="n">
        <v>16</v>
      </c>
      <c r="F7" s="4" t="n">
        <v>520</v>
      </c>
      <c r="G7" s="4" t="n">
        <v>42</v>
      </c>
      <c r="H7" s="4" t="n">
        <v>20</v>
      </c>
    </row>
    <row r="8">
      <c r="A8" s="4" t="inlineStr">
        <is>
          <t>Customer 7</t>
        </is>
      </c>
      <c r="B8" s="4" t="n">
        <v>965</v>
      </c>
      <c r="C8" s="4" t="n">
        <v>4</v>
      </c>
      <c r="D8" s="4" t="n">
        <v>0</v>
      </c>
      <c r="E8" s="4" t="n">
        <v>34</v>
      </c>
      <c r="F8" s="4" t="n">
        <v>235</v>
      </c>
      <c r="G8" s="4" t="n">
        <v>65</v>
      </c>
      <c r="H8" s="4" t="n">
        <v>17</v>
      </c>
    </row>
    <row r="9">
      <c r="A9" s="4" t="inlineStr">
        <is>
          <t>Customer 8</t>
        </is>
      </c>
      <c r="B9" s="4" t="n">
        <v>6177</v>
      </c>
      <c r="C9" s="4" t="n">
        <v>2</v>
      </c>
      <c r="D9" s="4" t="n">
        <v>0</v>
      </c>
      <c r="E9" s="4" t="n">
        <v>32</v>
      </c>
      <c r="F9" s="4" t="n">
        <v>76</v>
      </c>
      <c r="G9" s="4" t="n">
        <v>10</v>
      </c>
      <c r="H9" s="4" t="n">
        <v>8</v>
      </c>
    </row>
    <row r="10">
      <c r="A10" s="4" t="inlineStr">
        <is>
          <t>Customer 9</t>
        </is>
      </c>
      <c r="B10" s="4" t="n">
        <v>4855</v>
      </c>
      <c r="C10" s="4" t="n">
        <v>1</v>
      </c>
      <c r="D10" s="4" t="n">
        <v>0</v>
      </c>
      <c r="E10" s="4" t="n">
        <v>19</v>
      </c>
      <c r="F10" s="4" t="n">
        <v>14</v>
      </c>
      <c r="G10" s="4" t="n">
        <v>0</v>
      </c>
      <c r="H10" s="4" t="n">
        <v>5</v>
      </c>
    </row>
    <row r="11">
      <c r="A11" s="4" t="inlineStr">
        <is>
          <t>Customer 10</t>
        </is>
      </c>
      <c r="B11" s="4" t="n">
        <v>5899</v>
      </c>
      <c r="C11" s="4" t="n">
        <v>1</v>
      </c>
      <c r="D11" s="4" t="n">
        <v>1</v>
      </c>
      <c r="E11" s="4" t="n">
        <v>68</v>
      </c>
      <c r="F11" s="4" t="n">
        <v>28</v>
      </c>
      <c r="G11" s="4" t="n">
        <v>0</v>
      </c>
      <c r="H11" s="4" t="n">
        <v>1</v>
      </c>
    </row>
    <row r="13">
      <c r="A13" t="inlineStr">
        <is>
          <t>DMU = Decision Making Unit; one customer = one DMU.</t>
        </is>
      </c>
    </row>
    <row r="14">
      <c r="A14" t="inlineStr">
        <is>
          <t>AcceptedCampaigns = AcceptedCmp1+AcceptedCmp2+AcceptedCmp3+AcceptedCmp4+AcceptedCmp5;  NumPurchases = NumWebPurchases+NumCatalogPurchases+NumStorePurchases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34" customWidth="1" min="1" max="1"/>
    <col width="2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>
      <c r="A1" s="1" t="inlineStr">
        <is>
          <t>CCR DEA model – input-oriented, CRS</t>
        </is>
      </c>
    </row>
    <row r="2">
      <c r="A2" t="inlineStr">
        <is>
          <t>Target DMU number (1-10)</t>
        </is>
      </c>
      <c r="B2" s="5" t="n">
        <v>1</v>
      </c>
    </row>
    <row r="3">
      <c r="A3" t="inlineStr">
        <is>
          <t>Target DMU</t>
        </is>
      </c>
      <c r="B3">
        <f>INDEX(DEA_Input!$A$2:$A$11,$B$2)</f>
        <v/>
      </c>
    </row>
    <row r="4" ht="32" customHeight="1">
      <c r="A4" s="3" t="inlineStr">
        <is>
          <t>DMU / λ</t>
        </is>
      </c>
      <c r="B4" s="3" t="inlineStr">
        <is>
          <t>λ (changing cells)</t>
        </is>
      </c>
      <c r="C4" s="3" t="inlineStr">
        <is>
          <t>Input 1
Deals</t>
        </is>
      </c>
      <c r="D4" s="3" t="inlineStr">
        <is>
          <t>Input 2
Campaigns</t>
        </is>
      </c>
      <c r="E4" s="3" t="inlineStr">
        <is>
          <t>Input 3
Recency</t>
        </is>
      </c>
      <c r="F4" s="3" t="inlineStr">
        <is>
          <t>Output 1
Wines</t>
        </is>
      </c>
      <c r="G4" s="3" t="inlineStr">
        <is>
          <t>Output 2
Fruits</t>
        </is>
      </c>
      <c r="H4" s="3" t="inlineStr">
        <is>
          <t>Output 3
Purchases</t>
        </is>
      </c>
    </row>
    <row r="5">
      <c r="A5" t="inlineStr">
        <is>
          <t>Theta (θ)  – objective, MIN</t>
        </is>
      </c>
      <c r="B5" s="6" t="n">
        <v>1</v>
      </c>
    </row>
    <row r="6">
      <c r="A6" s="7">
        <f>"λ"&amp;1&amp;"  "&amp;DEA_Input!A2</f>
        <v/>
      </c>
      <c r="B6" s="8" t="n">
        <v>1</v>
      </c>
      <c r="C6" s="7">
        <f>DEA_Input!C2</f>
        <v/>
      </c>
      <c r="D6" s="7">
        <f>DEA_Input!D2</f>
        <v/>
      </c>
      <c r="E6" s="7">
        <f>DEA_Input!E2</f>
        <v/>
      </c>
      <c r="F6" s="7">
        <f>DEA_Input!F2</f>
        <v/>
      </c>
      <c r="G6" s="7">
        <f>DEA_Input!G2</f>
        <v/>
      </c>
      <c r="H6" s="7">
        <f>DEA_Input!H2</f>
        <v/>
      </c>
    </row>
    <row r="7">
      <c r="A7" s="7">
        <f>"λ"&amp;2&amp;"  "&amp;DEA_Input!A3</f>
        <v/>
      </c>
      <c r="B7" s="8" t="n">
        <v>0</v>
      </c>
      <c r="C7" s="7">
        <f>DEA_Input!C3</f>
        <v/>
      </c>
      <c r="D7" s="7">
        <f>DEA_Input!D3</f>
        <v/>
      </c>
      <c r="E7" s="7">
        <f>DEA_Input!E3</f>
        <v/>
      </c>
      <c r="F7" s="7">
        <f>DEA_Input!F3</f>
        <v/>
      </c>
      <c r="G7" s="7">
        <f>DEA_Input!G3</f>
        <v/>
      </c>
      <c r="H7" s="7">
        <f>DEA_Input!H3</f>
        <v/>
      </c>
    </row>
    <row r="8">
      <c r="A8" s="7">
        <f>"λ"&amp;3&amp;"  "&amp;DEA_Input!A4</f>
        <v/>
      </c>
      <c r="B8" s="8" t="n">
        <v>0</v>
      </c>
      <c r="C8" s="7">
        <f>DEA_Input!C4</f>
        <v/>
      </c>
      <c r="D8" s="7">
        <f>DEA_Input!D4</f>
        <v/>
      </c>
      <c r="E8" s="7">
        <f>DEA_Input!E4</f>
        <v/>
      </c>
      <c r="F8" s="7">
        <f>DEA_Input!F4</f>
        <v/>
      </c>
      <c r="G8" s="7">
        <f>DEA_Input!G4</f>
        <v/>
      </c>
      <c r="H8" s="7">
        <f>DEA_Input!H4</f>
        <v/>
      </c>
    </row>
    <row r="9">
      <c r="A9" s="7">
        <f>"λ"&amp;4&amp;"  "&amp;DEA_Input!A5</f>
        <v/>
      </c>
      <c r="B9" s="8" t="n">
        <v>0</v>
      </c>
      <c r="C9" s="7">
        <f>DEA_Input!C5</f>
        <v/>
      </c>
      <c r="D9" s="7">
        <f>DEA_Input!D5</f>
        <v/>
      </c>
      <c r="E9" s="7">
        <f>DEA_Input!E5</f>
        <v/>
      </c>
      <c r="F9" s="7">
        <f>DEA_Input!F5</f>
        <v/>
      </c>
      <c r="G9" s="7">
        <f>DEA_Input!G5</f>
        <v/>
      </c>
      <c r="H9" s="7">
        <f>DEA_Input!H5</f>
        <v/>
      </c>
    </row>
    <row r="10">
      <c r="A10" s="7">
        <f>"λ"&amp;5&amp;"  "&amp;DEA_Input!A6</f>
        <v/>
      </c>
      <c r="B10" s="8" t="n">
        <v>0</v>
      </c>
      <c r="C10" s="7">
        <f>DEA_Input!C6</f>
        <v/>
      </c>
      <c r="D10" s="7">
        <f>DEA_Input!D6</f>
        <v/>
      </c>
      <c r="E10" s="7">
        <f>DEA_Input!E6</f>
        <v/>
      </c>
      <c r="F10" s="7">
        <f>DEA_Input!F6</f>
        <v/>
      </c>
      <c r="G10" s="7">
        <f>DEA_Input!G6</f>
        <v/>
      </c>
      <c r="H10" s="7">
        <f>DEA_Input!H6</f>
        <v/>
      </c>
    </row>
    <row r="11">
      <c r="A11" s="7">
        <f>"λ"&amp;6&amp;"  "&amp;DEA_Input!A7</f>
        <v/>
      </c>
      <c r="B11" s="8" t="n">
        <v>0</v>
      </c>
      <c r="C11" s="7">
        <f>DEA_Input!C7</f>
        <v/>
      </c>
      <c r="D11" s="7">
        <f>DEA_Input!D7</f>
        <v/>
      </c>
      <c r="E11" s="7">
        <f>DEA_Input!E7</f>
        <v/>
      </c>
      <c r="F11" s="7">
        <f>DEA_Input!F7</f>
        <v/>
      </c>
      <c r="G11" s="7">
        <f>DEA_Input!G7</f>
        <v/>
      </c>
      <c r="H11" s="7">
        <f>DEA_Input!H7</f>
        <v/>
      </c>
    </row>
    <row r="12">
      <c r="A12" s="7">
        <f>"λ"&amp;7&amp;"  "&amp;DEA_Input!A8</f>
        <v/>
      </c>
      <c r="B12" s="8" t="n">
        <v>0</v>
      </c>
      <c r="C12" s="7">
        <f>DEA_Input!C8</f>
        <v/>
      </c>
      <c r="D12" s="7">
        <f>DEA_Input!D8</f>
        <v/>
      </c>
      <c r="E12" s="7">
        <f>DEA_Input!E8</f>
        <v/>
      </c>
      <c r="F12" s="7">
        <f>DEA_Input!F8</f>
        <v/>
      </c>
      <c r="G12" s="7">
        <f>DEA_Input!G8</f>
        <v/>
      </c>
      <c r="H12" s="7">
        <f>DEA_Input!H8</f>
        <v/>
      </c>
    </row>
    <row r="13">
      <c r="A13" s="7">
        <f>"λ"&amp;8&amp;"  "&amp;DEA_Input!A9</f>
        <v/>
      </c>
      <c r="B13" s="8" t="n">
        <v>0</v>
      </c>
      <c r="C13" s="7">
        <f>DEA_Input!C9</f>
        <v/>
      </c>
      <c r="D13" s="7">
        <f>DEA_Input!D9</f>
        <v/>
      </c>
      <c r="E13" s="7">
        <f>DEA_Input!E9</f>
        <v/>
      </c>
      <c r="F13" s="7">
        <f>DEA_Input!F9</f>
        <v/>
      </c>
      <c r="G13" s="7">
        <f>DEA_Input!G9</f>
        <v/>
      </c>
      <c r="H13" s="7">
        <f>DEA_Input!H9</f>
        <v/>
      </c>
    </row>
    <row r="14">
      <c r="A14" s="7">
        <f>"λ"&amp;9&amp;"  "&amp;DEA_Input!A10</f>
        <v/>
      </c>
      <c r="B14" s="8" t="n">
        <v>0</v>
      </c>
      <c r="C14" s="7">
        <f>DEA_Input!C10</f>
        <v/>
      </c>
      <c r="D14" s="7">
        <f>DEA_Input!D10</f>
        <v/>
      </c>
      <c r="E14" s="7">
        <f>DEA_Input!E10</f>
        <v/>
      </c>
      <c r="F14" s="7">
        <f>DEA_Input!F10</f>
        <v/>
      </c>
      <c r="G14" s="7">
        <f>DEA_Input!G10</f>
        <v/>
      </c>
      <c r="H14" s="7">
        <f>DEA_Input!H10</f>
        <v/>
      </c>
    </row>
    <row r="15">
      <c r="A15" s="7">
        <f>"λ"&amp;10&amp;"  "&amp;DEA_Input!A11</f>
        <v/>
      </c>
      <c r="B15" s="8" t="n">
        <v>0</v>
      </c>
      <c r="C15" s="7">
        <f>DEA_Input!C11</f>
        <v/>
      </c>
      <c r="D15" s="7">
        <f>DEA_Input!D11</f>
        <v/>
      </c>
      <c r="E15" s="7">
        <f>DEA_Input!E11</f>
        <v/>
      </c>
      <c r="F15" s="7">
        <f>DEA_Input!F11</f>
        <v/>
      </c>
      <c r="G15" s="7">
        <f>DEA_Input!G11</f>
        <v/>
      </c>
      <c r="H15" s="7">
        <f>DEA_Input!H11</f>
        <v/>
      </c>
    </row>
    <row r="16">
      <c r="A16" s="2" t="inlineStr">
        <is>
          <t>Target DMU values</t>
        </is>
      </c>
      <c r="C16" s="2">
        <f>INDEX(C$6:C$15,$B$2)</f>
        <v/>
      </c>
      <c r="D16" s="2">
        <f>INDEX(D$6:D$15,$B$2)</f>
        <v/>
      </c>
      <c r="E16" s="2">
        <f>INDEX(E$6:E$15,$B$2)</f>
        <v/>
      </c>
      <c r="F16" s="2">
        <f>INDEX(F$6:F$15,$B$2)</f>
        <v/>
      </c>
      <c r="G16" s="2">
        <f>INDEX(G$6:G$15,$B$2)</f>
        <v/>
      </c>
      <c r="H16" s="2">
        <f>INDEX(H$6:H$15,$B$2)</f>
        <v/>
      </c>
    </row>
    <row r="18">
      <c r="A18" s="2" t="inlineStr">
        <is>
          <t>CONSTRAINTS</t>
        </is>
      </c>
    </row>
    <row r="19">
      <c r="A19" s="3" t="inlineStr">
        <is>
          <t>Constraint</t>
        </is>
      </c>
      <c r="B19" s="3" t="inlineStr">
        <is>
          <t>LHS  Σ λj·x/y</t>
        </is>
      </c>
      <c r="C19" s="3" t="inlineStr">
        <is>
          <t>Relation</t>
        </is>
      </c>
      <c r="D19" s="3" t="inlineStr">
        <is>
          <t>RHS</t>
        </is>
      </c>
    </row>
    <row r="20">
      <c r="A20" s="7" t="inlineStr">
        <is>
          <t>Input 1 – NumDealsPurchases</t>
        </is>
      </c>
      <c r="B20" s="7">
        <f>SUMPRODUCT($B$6:$B$15,C$6:C$15)</f>
        <v/>
      </c>
      <c r="C20" s="4" t="inlineStr">
        <is>
          <t>&lt;=</t>
        </is>
      </c>
      <c r="D20" s="7">
        <f>$B$5*C$16</f>
        <v/>
      </c>
    </row>
    <row r="21">
      <c r="A21" s="7" t="inlineStr">
        <is>
          <t>Input 2 – AcceptedCampaigns</t>
        </is>
      </c>
      <c r="B21" s="7">
        <f>SUMPRODUCT($B$6:$B$15,D$6:D$15)</f>
        <v/>
      </c>
      <c r="C21" s="4" t="inlineStr">
        <is>
          <t>&lt;=</t>
        </is>
      </c>
      <c r="D21" s="7">
        <f>$B$5*D$16</f>
        <v/>
      </c>
    </row>
    <row r="22">
      <c r="A22" s="7" t="inlineStr">
        <is>
          <t>Input 3 – Recency</t>
        </is>
      </c>
      <c r="B22" s="7">
        <f>SUMPRODUCT($B$6:$B$15,E$6:E$15)</f>
        <v/>
      </c>
      <c r="C22" s="4" t="inlineStr">
        <is>
          <t>&lt;=</t>
        </is>
      </c>
      <c r="D22" s="7">
        <f>$B$5*E$16</f>
        <v/>
      </c>
    </row>
    <row r="24">
      <c r="A24" s="7" t="inlineStr">
        <is>
          <t>Output 1 – MntWines</t>
        </is>
      </c>
      <c r="B24" s="7">
        <f>SUMPRODUCT($B$6:$B$15,F$6:F$15)</f>
        <v/>
      </c>
      <c r="C24" s="4" t="inlineStr">
        <is>
          <t>&gt;=</t>
        </is>
      </c>
      <c r="D24" s="7">
        <f>F$16</f>
        <v/>
      </c>
    </row>
    <row r="25">
      <c r="A25" s="7" t="inlineStr">
        <is>
          <t>Output 2 – MntFruits</t>
        </is>
      </c>
      <c r="B25" s="7">
        <f>SUMPRODUCT($B$6:$B$15,G$6:G$15)</f>
        <v/>
      </c>
      <c r="C25" s="4" t="inlineStr">
        <is>
          <t>&gt;=</t>
        </is>
      </c>
      <c r="D25" s="7">
        <f>G$16</f>
        <v/>
      </c>
    </row>
    <row r="26">
      <c r="A26" s="7" t="inlineStr">
        <is>
          <t>Output 3 – NumPurchases</t>
        </is>
      </c>
      <c r="B26" s="7">
        <f>SUMPRODUCT($B$6:$B$15,H$6:H$15)</f>
        <v/>
      </c>
      <c r="C26" s="4" t="inlineStr">
        <is>
          <t>&gt;=</t>
        </is>
      </c>
      <c r="D26" s="7">
        <f>H$16</f>
        <v/>
      </c>
    </row>
    <row r="27">
      <c r="A27" t="inlineStr">
        <is>
          <t>Non-negativity: Theta &gt;= 0 and all λ &gt;= 0  (tick 'Make Unconstrained Variables Non-Negative'). Method: Simplex LP.</t>
        </is>
      </c>
    </row>
    <row r="28">
      <c r="A28" t="inlineStr">
        <is>
          <t>Check (all constraints met?)</t>
        </is>
      </c>
      <c r="B28">
        <f>IF(AND(B20&lt;=D20+0.0001,B21&lt;=D21+0.0001,B22&lt;=D22+0.0001,B24&gt;=D24-0.0001,B25&gt;=D25-0.0001,B26&gt;=D26-0.0001),"OK","VIOLATED")</f>
        <v/>
      </c>
    </row>
    <row r="29">
      <c r="A29" s="2" t="inlineStr">
        <is>
          <t>CCR efficiency score (Theta)</t>
        </is>
      </c>
      <c r="B29" s="2">
        <f>B5</f>
        <v/>
      </c>
    </row>
    <row r="30">
      <c r="A30" t="inlineStr">
        <is>
          <t>Status</t>
        </is>
      </c>
      <c r="B30">
        <f>IF(ROUND(B5,4)&gt;=1,"Efficient","Inefficient")</f>
        <v/>
      </c>
    </row>
  </sheetData>
  <dataValidations count="1">
    <dataValidation sqref="B2" showDropDown="0" showInputMessage="0" showErrorMessage="0" allowBlank="0" type="whole" operator="between">
      <formula1>1</formula1>
      <formula2>10</formula2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60" customWidth="1" min="12" max="12"/>
  </cols>
  <sheetData>
    <row r="1">
      <c r="A1" s="1" t="inlineStr">
        <is>
          <t>CCR DEA – efficiency results (10 customers)</t>
        </is>
      </c>
    </row>
    <row r="3" ht="34" customHeight="1">
      <c r="A3" s="3" t="inlineStr">
        <is>
          <t>DMU</t>
        </is>
      </c>
      <c r="B3" s="3" t="inlineStr">
        <is>
          <t>NumDeals
Purchases</t>
        </is>
      </c>
      <c r="C3" s="3" t="inlineStr">
        <is>
          <t>Accepted
Campaigns</t>
        </is>
      </c>
      <c r="D3" s="3" t="inlineStr">
        <is>
          <t>Recency</t>
        </is>
      </c>
      <c r="E3" s="3" t="inlineStr">
        <is>
          <t>MntWines</t>
        </is>
      </c>
      <c r="F3" s="3" t="inlineStr">
        <is>
          <t>MntFruits</t>
        </is>
      </c>
      <c r="G3" s="3" t="inlineStr">
        <is>
          <t>NumPurchases</t>
        </is>
      </c>
      <c r="H3" s="3" t="inlineStr">
        <is>
          <t>Expected score
(LP check)</t>
        </is>
      </c>
      <c r="I3" s="3" t="inlineStr">
        <is>
          <t>Your Solver
score</t>
        </is>
      </c>
      <c r="J3" s="3" t="inlineStr">
        <is>
          <t>Status
(from your score)</t>
        </is>
      </c>
    </row>
    <row r="4">
      <c r="A4" s="4">
        <f>DEA_Input!A2</f>
        <v/>
      </c>
      <c r="B4" s="4">
        <f>DEA_Input!C2</f>
        <v/>
      </c>
      <c r="C4" s="4">
        <f>DEA_Input!D2</f>
        <v/>
      </c>
      <c r="D4" s="4">
        <f>DEA_Input!E2</f>
        <v/>
      </c>
      <c r="E4" s="4">
        <f>DEA_Input!F2</f>
        <v/>
      </c>
      <c r="F4" s="4">
        <f>DEA_Input!G2</f>
        <v/>
      </c>
      <c r="G4" s="4">
        <f>DEA_Input!H2</f>
        <v/>
      </c>
      <c r="H4" s="4" t="n">
        <v>0.7593</v>
      </c>
      <c r="I4" s="9" t="n"/>
      <c r="J4" s="4">
        <f>IF(I4="","",IF(ROUND(I4,4)&gt;=1,"Efficient","Inefficient"))</f>
        <v/>
      </c>
    </row>
    <row r="5">
      <c r="A5" s="4">
        <f>DEA_Input!A3</f>
        <v/>
      </c>
      <c r="B5" s="4">
        <f>DEA_Input!C3</f>
        <v/>
      </c>
      <c r="C5" s="4">
        <f>DEA_Input!D3</f>
        <v/>
      </c>
      <c r="D5" s="4">
        <f>DEA_Input!E3</f>
        <v/>
      </c>
      <c r="E5" s="4">
        <f>DEA_Input!F3</f>
        <v/>
      </c>
      <c r="F5" s="4">
        <f>DEA_Input!G3</f>
        <v/>
      </c>
      <c r="G5" s="4">
        <f>DEA_Input!H3</f>
        <v/>
      </c>
      <c r="H5" s="4" t="n">
        <v>0.1241</v>
      </c>
      <c r="I5" s="9" t="n"/>
      <c r="J5" s="4">
        <f>IF(I5="","",IF(ROUND(I5,4)&gt;=1,"Efficient","Inefficient"))</f>
        <v/>
      </c>
    </row>
    <row r="6">
      <c r="A6" s="4">
        <f>DEA_Input!A4</f>
        <v/>
      </c>
      <c r="B6" s="4">
        <f>DEA_Input!C4</f>
        <v/>
      </c>
      <c r="C6" s="4">
        <f>DEA_Input!D4</f>
        <v/>
      </c>
      <c r="D6" s="4">
        <f>DEA_Input!E4</f>
        <v/>
      </c>
      <c r="E6" s="4">
        <f>DEA_Input!F4</f>
        <v/>
      </c>
      <c r="F6" s="4">
        <f>DEA_Input!G4</f>
        <v/>
      </c>
      <c r="G6" s="4">
        <f>DEA_Input!H4</f>
        <v/>
      </c>
      <c r="H6" s="4" t="n">
        <v>1</v>
      </c>
      <c r="I6" s="9" t="n"/>
      <c r="J6" s="4">
        <f>IF(I6="","",IF(ROUND(I6,4)&gt;=1,"Efficient","Inefficient"))</f>
        <v/>
      </c>
    </row>
    <row r="7">
      <c r="A7" s="4">
        <f>DEA_Input!A5</f>
        <v/>
      </c>
      <c r="B7" s="4">
        <f>DEA_Input!C5</f>
        <v/>
      </c>
      <c r="C7" s="4">
        <f>DEA_Input!D5</f>
        <v/>
      </c>
      <c r="D7" s="4">
        <f>DEA_Input!E5</f>
        <v/>
      </c>
      <c r="E7" s="4">
        <f>DEA_Input!F5</f>
        <v/>
      </c>
      <c r="F7" s="4">
        <f>DEA_Input!G5</f>
        <v/>
      </c>
      <c r="G7" s="4">
        <f>DEA_Input!H5</f>
        <v/>
      </c>
      <c r="H7" s="4" t="n">
        <v>0.2348</v>
      </c>
      <c r="I7" s="9" t="n"/>
      <c r="J7" s="4">
        <f>IF(I7="","",IF(ROUND(I7,4)&gt;=1,"Efficient","Inefficient"))</f>
        <v/>
      </c>
    </row>
    <row r="8">
      <c r="A8" s="4">
        <f>DEA_Input!A6</f>
        <v/>
      </c>
      <c r="B8" s="4">
        <f>DEA_Input!C6</f>
        <v/>
      </c>
      <c r="C8" s="4">
        <f>DEA_Input!D6</f>
        <v/>
      </c>
      <c r="D8" s="4">
        <f>DEA_Input!E6</f>
        <v/>
      </c>
      <c r="E8" s="4">
        <f>DEA_Input!F6</f>
        <v/>
      </c>
      <c r="F8" s="4">
        <f>DEA_Input!G6</f>
        <v/>
      </c>
      <c r="G8" s="4">
        <f>DEA_Input!H6</f>
        <v/>
      </c>
      <c r="H8" s="4" t="n">
        <v>0.2275</v>
      </c>
      <c r="I8" s="9" t="n"/>
      <c r="J8" s="4">
        <f>IF(I8="","",IF(ROUND(I8,4)&gt;=1,"Efficient","Inefficient"))</f>
        <v/>
      </c>
    </row>
    <row r="9">
      <c r="A9" s="4">
        <f>DEA_Input!A7</f>
        <v/>
      </c>
      <c r="B9" s="4">
        <f>DEA_Input!C7</f>
        <v/>
      </c>
      <c r="C9" s="4">
        <f>DEA_Input!D7</f>
        <v/>
      </c>
      <c r="D9" s="4">
        <f>DEA_Input!E7</f>
        <v/>
      </c>
      <c r="E9" s="4">
        <f>DEA_Input!F7</f>
        <v/>
      </c>
      <c r="F9" s="4">
        <f>DEA_Input!G7</f>
        <v/>
      </c>
      <c r="G9" s="4">
        <f>DEA_Input!H7</f>
        <v/>
      </c>
      <c r="H9" s="4" t="n">
        <v>1</v>
      </c>
      <c r="I9" s="9" t="n"/>
      <c r="J9" s="4">
        <f>IF(I9="","",IF(ROUND(I9,4)&gt;=1,"Efficient","Inefficient"))</f>
        <v/>
      </c>
    </row>
    <row r="10">
      <c r="A10" s="4">
        <f>DEA_Input!A8</f>
        <v/>
      </c>
      <c r="B10" s="4">
        <f>DEA_Input!C8</f>
        <v/>
      </c>
      <c r="C10" s="4">
        <f>DEA_Input!D8</f>
        <v/>
      </c>
      <c r="D10" s="4">
        <f>DEA_Input!E8</f>
        <v/>
      </c>
      <c r="E10" s="4">
        <f>DEA_Input!F8</f>
        <v/>
      </c>
      <c r="F10" s="4">
        <f>DEA_Input!G8</f>
        <v/>
      </c>
      <c r="G10" s="4">
        <f>DEA_Input!H8</f>
        <v/>
      </c>
      <c r="H10" s="4" t="n">
        <v>0.7462</v>
      </c>
      <c r="I10" s="9" t="n"/>
      <c r="J10" s="4">
        <f>IF(I10="","",IF(ROUND(I10,4)&gt;=1,"Efficient","Inefficient"))</f>
        <v/>
      </c>
    </row>
    <row r="11">
      <c r="A11" s="4">
        <f>DEA_Input!A9</f>
        <v/>
      </c>
      <c r="B11" s="4">
        <f>DEA_Input!C9</f>
        <v/>
      </c>
      <c r="C11" s="4">
        <f>DEA_Input!D9</f>
        <v/>
      </c>
      <c r="D11" s="4">
        <f>DEA_Input!E9</f>
        <v/>
      </c>
      <c r="E11" s="4">
        <f>DEA_Input!F9</f>
        <v/>
      </c>
      <c r="F11" s="4">
        <f>DEA_Input!G9</f>
        <v/>
      </c>
      <c r="G11" s="4">
        <f>DEA_Input!H9</f>
        <v/>
      </c>
      <c r="H11" s="4" t="n">
        <v>0.2769</v>
      </c>
      <c r="I11" s="9" t="n"/>
      <c r="J11" s="4">
        <f>IF(I11="","",IF(ROUND(I11,4)&gt;=1,"Efficient","Inefficient"))</f>
        <v/>
      </c>
    </row>
    <row r="12">
      <c r="A12" s="4">
        <f>DEA_Input!A10</f>
        <v/>
      </c>
      <c r="B12" s="4">
        <f>DEA_Input!C10</f>
        <v/>
      </c>
      <c r="C12" s="4">
        <f>DEA_Input!D10</f>
        <v/>
      </c>
      <c r="D12" s="4">
        <f>DEA_Input!E10</f>
        <v/>
      </c>
      <c r="E12" s="4">
        <f>DEA_Input!F10</f>
        <v/>
      </c>
      <c r="F12" s="4">
        <f>DEA_Input!G10</f>
        <v/>
      </c>
      <c r="G12" s="4">
        <f>DEA_Input!H10</f>
        <v/>
      </c>
      <c r="H12" s="4" t="n">
        <v>0.3103</v>
      </c>
      <c r="I12" s="9" t="n"/>
      <c r="J12" s="4">
        <f>IF(I12="","",IF(ROUND(I12,4)&gt;=1,"Efficient","Inefficient"))</f>
        <v/>
      </c>
    </row>
    <row r="13">
      <c r="A13" s="4">
        <f>DEA_Input!A11</f>
        <v/>
      </c>
      <c r="B13" s="4">
        <f>DEA_Input!C11</f>
        <v/>
      </c>
      <c r="C13" s="4">
        <f>DEA_Input!D11</f>
        <v/>
      </c>
      <c r="D13" s="4">
        <f>DEA_Input!E11</f>
        <v/>
      </c>
      <c r="E13" s="4">
        <f>DEA_Input!F11</f>
        <v/>
      </c>
      <c r="F13" s="4">
        <f>DEA_Input!G11</f>
        <v/>
      </c>
      <c r="G13" s="4">
        <f>DEA_Input!H11</f>
        <v/>
      </c>
      <c r="H13" s="4" t="n">
        <v>0.06569999999999999</v>
      </c>
      <c r="I13" s="9" t="n"/>
      <c r="J13" s="4">
        <f>IF(I13="","",IF(ROUND(I13,4)&gt;=1,"Efficient","Inefficient"))</f>
        <v/>
      </c>
    </row>
    <row r="15">
      <c r="A15" s="2" t="inlineStr">
        <is>
          <t>Efficient DMUs (expected):</t>
        </is>
      </c>
      <c r="C15">
        <f>COUNTIF(H4:H13,"&gt;=0.99995")</f>
        <v/>
      </c>
    </row>
    <row r="16">
      <c r="A16" s="2" t="inlineStr">
        <is>
          <t>Inefficient DMUs (expected):</t>
        </is>
      </c>
      <c r="C16">
        <f>10-C15</f>
        <v/>
      </c>
    </row>
    <row r="18">
      <c r="A18" s="2" t="inlineStr">
        <is>
          <t>Benchmark (reference) DMUs – λ weights from the optimal solution (λ &gt; 0 = reference peer)</t>
        </is>
      </c>
    </row>
    <row r="19">
      <c r="A19" s="3" t="inlineStr">
        <is>
          <t>Target DMU</t>
        </is>
      </c>
      <c r="B19" s="3" t="inlineStr">
        <is>
          <t>λ1</t>
        </is>
      </c>
      <c r="C19" s="3" t="inlineStr">
        <is>
          <t>λ2</t>
        </is>
      </c>
      <c r="D19" s="3" t="inlineStr">
        <is>
          <t>λ3</t>
        </is>
      </c>
      <c r="E19" s="3" t="inlineStr">
        <is>
          <t>λ4</t>
        </is>
      </c>
      <c r="F19" s="3" t="inlineStr">
        <is>
          <t>λ5</t>
        </is>
      </c>
      <c r="G19" s="3" t="inlineStr">
        <is>
          <t>λ6</t>
        </is>
      </c>
      <c r="H19" s="3" t="inlineStr">
        <is>
          <t>λ7</t>
        </is>
      </c>
      <c r="I19" s="3" t="inlineStr">
        <is>
          <t>λ8</t>
        </is>
      </c>
      <c r="J19" s="3" t="inlineStr">
        <is>
          <t>λ9</t>
        </is>
      </c>
      <c r="K19" s="3" t="inlineStr">
        <is>
          <t>λ10</t>
        </is>
      </c>
      <c r="L19" s="3" t="inlineStr">
        <is>
          <t>Benchmarks</t>
        </is>
      </c>
    </row>
    <row r="20">
      <c r="A20" s="7" t="inlineStr">
        <is>
          <t>Customer 1</t>
        </is>
      </c>
      <c r="B20" s="7" t="n">
        <v>0</v>
      </c>
      <c r="C20" s="7" t="n">
        <v>0</v>
      </c>
      <c r="D20" s="7" t="n">
        <v>1.4343</v>
      </c>
      <c r="E20" s="7" t="n">
        <v>0</v>
      </c>
      <c r="F20" s="7" t="n">
        <v>0</v>
      </c>
      <c r="G20" s="7" t="n">
        <v>0.4219</v>
      </c>
      <c r="H20" s="7" t="n">
        <v>0</v>
      </c>
      <c r="I20" s="7" t="n">
        <v>0</v>
      </c>
      <c r="J20" s="7" t="n">
        <v>0</v>
      </c>
      <c r="K20" s="7" t="n">
        <v>0</v>
      </c>
      <c r="L20" s="7" t="inlineStr">
        <is>
          <t>Customer 3 (1.43), Customer 6 (0.42)</t>
        </is>
      </c>
    </row>
    <row r="21">
      <c r="A21" s="7" t="inlineStr">
        <is>
          <t>Customer 2</t>
        </is>
      </c>
      <c r="B21" s="7" t="n">
        <v>0</v>
      </c>
      <c r="C21" s="7" t="n">
        <v>0</v>
      </c>
      <c r="D21" s="7" t="n">
        <v>0.1517</v>
      </c>
      <c r="E21" s="7" t="n">
        <v>0</v>
      </c>
      <c r="F21" s="7" t="n">
        <v>0</v>
      </c>
      <c r="G21" s="7" t="n">
        <v>0.0483</v>
      </c>
      <c r="H21" s="7" t="n">
        <v>0</v>
      </c>
      <c r="I21" s="7" t="n">
        <v>0</v>
      </c>
      <c r="J21" s="7" t="n">
        <v>0</v>
      </c>
      <c r="K21" s="7" t="n">
        <v>0</v>
      </c>
      <c r="L21" s="7" t="inlineStr">
        <is>
          <t>Customer 3 (0.15), Customer 6 (0.05)</t>
        </is>
      </c>
    </row>
    <row r="22">
      <c r="A22" s="7" t="inlineStr">
        <is>
          <t>Customer 3</t>
        </is>
      </c>
      <c r="B22" s="7" t="n">
        <v>0</v>
      </c>
      <c r="C22" s="7" t="n">
        <v>0</v>
      </c>
      <c r="D22" s="7" t="n">
        <v>1</v>
      </c>
      <c r="E22" s="7" t="n">
        <v>0</v>
      </c>
      <c r="F22" s="7" t="n">
        <v>0</v>
      </c>
      <c r="G22" s="7" t="n">
        <v>0</v>
      </c>
      <c r="H22" s="7" t="n">
        <v>0</v>
      </c>
      <c r="I22" s="7" t="n">
        <v>0</v>
      </c>
      <c r="J22" s="7" t="n">
        <v>0</v>
      </c>
      <c r="K22" s="7" t="n">
        <v>0</v>
      </c>
      <c r="L22" s="7" t="inlineStr">
        <is>
          <t>— (efficient itself)</t>
        </is>
      </c>
    </row>
    <row r="23">
      <c r="A23" s="7" t="inlineStr">
        <is>
          <t>Customer 4</t>
        </is>
      </c>
      <c r="B23" s="7" t="n">
        <v>0</v>
      </c>
      <c r="C23" s="7" t="n">
        <v>0</v>
      </c>
      <c r="D23" s="7" t="n">
        <v>0.1304</v>
      </c>
      <c r="E23" s="7" t="n">
        <v>0</v>
      </c>
      <c r="F23" s="7" t="n">
        <v>0</v>
      </c>
      <c r="G23" s="7" t="n">
        <v>0.1696</v>
      </c>
      <c r="H23" s="7" t="n">
        <v>0</v>
      </c>
      <c r="I23" s="7" t="n">
        <v>0</v>
      </c>
      <c r="J23" s="7" t="n">
        <v>0</v>
      </c>
      <c r="K23" s="7" t="n">
        <v>0</v>
      </c>
      <c r="L23" s="7" t="inlineStr">
        <is>
          <t>Customer 3 (0.13), Customer 6 (0.17)</t>
        </is>
      </c>
    </row>
    <row r="24">
      <c r="A24" s="7" t="inlineStr">
        <is>
          <t>Customer 5</t>
        </is>
      </c>
      <c r="B24" s="7" t="n">
        <v>0</v>
      </c>
      <c r="C24" s="7" t="n">
        <v>0</v>
      </c>
      <c r="D24" s="7" t="n">
        <v>0.6825</v>
      </c>
      <c r="E24" s="7" t="n">
        <v>0</v>
      </c>
      <c r="F24" s="7" t="n">
        <v>0</v>
      </c>
      <c r="G24" s="7" t="n">
        <v>0.2275</v>
      </c>
      <c r="H24" s="7" t="n">
        <v>0</v>
      </c>
      <c r="I24" s="7" t="n">
        <v>0</v>
      </c>
      <c r="J24" s="7" t="n">
        <v>0</v>
      </c>
      <c r="K24" s="7" t="n">
        <v>0</v>
      </c>
      <c r="L24" s="7" t="inlineStr">
        <is>
          <t>Customer 3 (0.68), Customer 6 (0.23)</t>
        </is>
      </c>
    </row>
    <row r="25">
      <c r="A25" s="7" t="inlineStr">
        <is>
          <t>Customer 6</t>
        </is>
      </c>
      <c r="B25" s="7" t="n">
        <v>0</v>
      </c>
      <c r="C25" s="7" t="n">
        <v>0</v>
      </c>
      <c r="D25" s="7" t="n">
        <v>0</v>
      </c>
      <c r="E25" s="7" t="n">
        <v>0</v>
      </c>
      <c r="F25" s="7" t="n">
        <v>0</v>
      </c>
      <c r="G25" s="7" t="n">
        <v>1</v>
      </c>
      <c r="H25" s="7" t="n">
        <v>0</v>
      </c>
      <c r="I25" s="7" t="n">
        <v>0</v>
      </c>
      <c r="J25" s="7" t="n">
        <v>0</v>
      </c>
      <c r="K25" s="7" t="n">
        <v>0</v>
      </c>
      <c r="L25" s="7" t="inlineStr">
        <is>
          <t>— (efficient itself)</t>
        </is>
      </c>
    </row>
    <row r="26">
      <c r="A26" s="7" t="inlineStr">
        <is>
          <t>Customer 7</t>
        </is>
      </c>
      <c r="B26" s="7" t="n">
        <v>0</v>
      </c>
      <c r="C26" s="7" t="n">
        <v>0</v>
      </c>
      <c r="D26" s="7" t="n">
        <v>0.0829</v>
      </c>
      <c r="E26" s="7" t="n">
        <v>0</v>
      </c>
      <c r="F26" s="7" t="n">
        <v>0</v>
      </c>
      <c r="G26" s="7" t="n">
        <v>1.4509</v>
      </c>
      <c r="H26" s="7" t="n">
        <v>0</v>
      </c>
      <c r="I26" s="7" t="n">
        <v>0</v>
      </c>
      <c r="J26" s="7" t="n">
        <v>0</v>
      </c>
      <c r="K26" s="7" t="n">
        <v>0</v>
      </c>
      <c r="L26" s="7" t="inlineStr">
        <is>
          <t>Customer 3 (0.08), Customer 6 (1.45)</t>
        </is>
      </c>
    </row>
    <row r="27">
      <c r="A27" s="7" t="inlineStr">
        <is>
          <t>Customer 8</t>
        </is>
      </c>
      <c r="B27" s="7" t="n">
        <v>0</v>
      </c>
      <c r="C27" s="7" t="n">
        <v>0</v>
      </c>
      <c r="D27" s="7" t="n">
        <v>0.2462</v>
      </c>
      <c r="E27" s="7" t="n">
        <v>0</v>
      </c>
      <c r="F27" s="7" t="n">
        <v>0</v>
      </c>
      <c r="G27" s="7" t="n">
        <v>0.1538</v>
      </c>
      <c r="H27" s="7" t="n">
        <v>0</v>
      </c>
      <c r="I27" s="7" t="n">
        <v>0</v>
      </c>
      <c r="J27" s="7" t="n">
        <v>0</v>
      </c>
      <c r="K27" s="7" t="n">
        <v>0</v>
      </c>
      <c r="L27" s="7" t="inlineStr">
        <is>
          <t>Customer 3 (0.25), Customer 6 (0.15)</t>
        </is>
      </c>
    </row>
    <row r="28">
      <c r="A28" s="7" t="inlineStr">
        <is>
          <t>Customer 9</t>
        </is>
      </c>
      <c r="B28" s="7" t="n">
        <v>0</v>
      </c>
      <c r="C28" s="7" t="n">
        <v>0</v>
      </c>
      <c r="D28" s="7" t="n">
        <v>0.1897</v>
      </c>
      <c r="E28" s="7" t="n">
        <v>0</v>
      </c>
      <c r="F28" s="7" t="n">
        <v>0</v>
      </c>
      <c r="G28" s="7" t="n">
        <v>0.0603</v>
      </c>
      <c r="H28" s="7" t="n">
        <v>0</v>
      </c>
      <c r="I28" s="7" t="n">
        <v>0</v>
      </c>
      <c r="J28" s="7" t="n">
        <v>0</v>
      </c>
      <c r="K28" s="7" t="n">
        <v>0</v>
      </c>
      <c r="L28" s="7" t="inlineStr">
        <is>
          <t>Customer 3 (0.19), Customer 6 (0.06)</t>
        </is>
      </c>
    </row>
    <row r="29">
      <c r="A29" s="7" t="inlineStr">
        <is>
          <t>Customer 10</t>
        </is>
      </c>
      <c r="B29" s="7" t="n">
        <v>0</v>
      </c>
      <c r="C29" s="7" t="n">
        <v>0</v>
      </c>
      <c r="D29" s="7" t="n">
        <v>0.06569999999999999</v>
      </c>
      <c r="E29" s="7" t="n">
        <v>0</v>
      </c>
      <c r="F29" s="7" t="n">
        <v>0</v>
      </c>
      <c r="G29" s="7" t="n">
        <v>0</v>
      </c>
      <c r="H29" s="7" t="n">
        <v>0</v>
      </c>
      <c r="I29" s="7" t="n">
        <v>0</v>
      </c>
      <c r="J29" s="7" t="n">
        <v>0</v>
      </c>
      <c r="K29" s="7" t="n">
        <v>0</v>
      </c>
      <c r="L29" s="7" t="inlineStr">
        <is>
          <t>Customer 3 (0.07)</t>
        </is>
      </c>
    </row>
    <row r="31">
      <c r="A31" s="2" t="inlineStr">
        <is>
          <t>Interpretation</t>
        </is>
      </c>
    </row>
    <row r="32">
      <c r="A32" t="inlineStr">
        <is>
          <t>θ = 1 → CCR efficient (on the frontier): Customers 3, 6. They are the benchmarks.</t>
        </is>
      </c>
    </row>
    <row r="33">
      <c r="A33" t="inlineStr">
        <is>
          <t>θ &lt; 1 → relatively inefficient: Customers 1, 2, 4, 5, 7, 8, 9, 10. A score of e.g. 0.60 means the customer could produce the same outputs with ~60% of its inputs (deals, campaigns, recency), or is using inputs less effectively than its benchmark peers.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2026-10-05T05:34:09Z</dcterms:created>
  <dcterms:modified xmlns:dcterms="http://purl.org/dc/terms/" xmlns:xsi="http://www.w3.org/2001/XMLSchema-instance" xsi:type="dcterms:W3CDTF">2026-10-05T05:34:09Z</dcterms:modified>
</cp:coreProperties>
</file>